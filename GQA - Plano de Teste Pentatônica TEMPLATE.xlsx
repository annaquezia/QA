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avioaugusto/Downloads/"/>
    </mc:Choice>
  </mc:AlternateContent>
  <xr:revisionPtr revIDLastSave="0" documentId="13_ncr:1_{77FDEA22-F6E7-0345-AC8F-23D1D636C28A}" xr6:coauthVersionLast="47" xr6:coauthVersionMax="47" xr10:uidLastSave="{00000000-0000-0000-0000-000000000000}"/>
  <bookViews>
    <workbookView xWindow="0" yWindow="780" windowWidth="34200" windowHeight="21360" xr2:uid="{40061C77-5BC0-054F-9AD1-0FAD8C8C7E1A}"/>
  </bookViews>
  <sheets>
    <sheet name="Vazio" sheetId="5" r:id="rId1"/>
  </sheets>
  <definedNames>
    <definedName name="Criterio" localSheetId="0">Vazio!$C$5</definedName>
    <definedName name="Criterio">#REF!</definedName>
    <definedName name="_xlnm.Criteria" localSheetId="0">Vazio!$C$5</definedName>
    <definedName name="_xlnm.Criteria">#REF!</definedName>
    <definedName name="Nao" localSheetId="0">Vazio!$C$3</definedName>
    <definedName name="Nao">#REF!</definedName>
    <definedName name="NaoAp" localSheetId="0">Vazio!$C$4</definedName>
    <definedName name="NaoAp">#REF!</definedName>
    <definedName name="Sim" localSheetId="0">Vazio!$C$2</definedName>
    <definedName name="S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" l="1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C5" i="5"/>
  <c r="C4" i="5"/>
  <c r="C3" i="5"/>
  <c r="C2" i="5"/>
  <c r="C6" i="5" l="1"/>
</calcChain>
</file>

<file path=xl/sharedStrings.xml><?xml version="1.0" encoding="utf-8"?>
<sst xmlns="http://schemas.openxmlformats.org/spreadsheetml/2006/main" count="145" uniqueCount="85">
  <si>
    <t>N°</t>
  </si>
  <si>
    <t>Descrição</t>
  </si>
  <si>
    <t>Resultado</t>
  </si>
  <si>
    <t>Responsável</t>
  </si>
  <si>
    <t>Observação</t>
  </si>
  <si>
    <t>Classificação da NC</t>
  </si>
  <si>
    <t>Ação Corretiva</t>
  </si>
  <si>
    <t>Thales Henrique Calil, Vitor de Oliveira Lisboa, Enzo Alves de Barros</t>
  </si>
  <si>
    <t>Aderencia</t>
  </si>
  <si>
    <t>O documento de Plano de Teste - Pentatônica foi criado?</t>
  </si>
  <si>
    <t>Foi preenchido o nome do projeto de acordo com o template?</t>
  </si>
  <si>
    <t>Foi preenchido a versão do plano de teste de acordo com o template?</t>
  </si>
  <si>
    <t>Foi preenchido o histórico da revisão em formato de tabela de acordo com o template?</t>
  </si>
  <si>
    <t>O documento de Plano de Teste possui cabeçalho?</t>
  </si>
  <si>
    <t>Não</t>
  </si>
  <si>
    <t>Sim</t>
  </si>
  <si>
    <t>O cabeçalho foi preenchido com o nome do projeto?</t>
  </si>
  <si>
    <t>O documento de Plano de Teste possui rodapé?</t>
  </si>
  <si>
    <t>Alta | 30min</t>
  </si>
  <si>
    <t>Baixa | 2h</t>
  </si>
  <si>
    <t>Não aplicável</t>
  </si>
  <si>
    <t>Média | 1h</t>
  </si>
  <si>
    <t>O cabeçalho foi preenchido com o ano em que o documento foi preenchido?</t>
  </si>
  <si>
    <t>O rodapé está preenchido conforme o template?</t>
  </si>
  <si>
    <t>Preencher o histórico de revisão em formato de tabela e seguindo as especificações do template.</t>
  </si>
  <si>
    <t>Preencher o rodapé de acordo com as especificações do template.</t>
  </si>
  <si>
    <t>Criar o rodapé de acordo com as especificações do template.</t>
  </si>
  <si>
    <t>Preencher o cabeçalho com o ano referente a criação e preenchimento do documento.</t>
  </si>
  <si>
    <t>Preencher o cabeçalho com o nome do projeto.</t>
  </si>
  <si>
    <t>Preencher o cabeçalho de acordo com a especificação do template.</t>
  </si>
  <si>
    <t>Preencher a versão do projeto de acordo com a espeficição do template.</t>
  </si>
  <si>
    <t>Preencher o nome do projeto de acordo com a especificação do template.</t>
  </si>
  <si>
    <t>Criar o documento e o preencher de acordo com as especificações do template.</t>
  </si>
  <si>
    <t>Critérios</t>
  </si>
  <si>
    <t>A coluna " Data" da tabela na seção Histórico de Revisão foi preenchida de acordo com as especificações do template?</t>
  </si>
  <si>
    <t>Preencher a coluna "Data" da tabela na seção de Histórico de Revisão de acordo com a especificação do template.</t>
  </si>
  <si>
    <t>A coluna  "Versão" da tabela na seção Histórico de Revisão foi preenchida de acordo com as especificações do template?</t>
  </si>
  <si>
    <t>Preencher a coluna "Versão" da tabela na seção de Histórico de Revisão de acordo com a especificação do template.</t>
  </si>
  <si>
    <t>A coluna "Descrição" da tabela na seção Histórico de Revisão foi preenchida de acordo com as especificações do template?</t>
  </si>
  <si>
    <t>Preencher a coluna "Descrição" da tabela na seção de Histórico de Revisão de acordo com a especificação do template.</t>
  </si>
  <si>
    <t>A coluna "Autor" da tabela na seção Histórico de Revisão foi preenchida de acordo com as especificações do template?</t>
  </si>
  <si>
    <t>Preencher a coluna "autor" da tabela na seção de Histórico de Revisão de acordo com a especificação do template.</t>
  </si>
  <si>
    <t>Na seção de introdução, foi preenchido o Objetivo do projeto de acordo com o template ?</t>
  </si>
  <si>
    <t>Na seção de introdução, preencher a subseção Objetivo do projeto de acordo com a especificação do template.</t>
  </si>
  <si>
    <t>Na seção de introdução, foi preenchido o Escopo do projeto de acordo com o template ?</t>
  </si>
  <si>
    <t>Na seção de introdução, preencher a subseção Escopo do projeto de acordo com a especificação do template.</t>
  </si>
  <si>
    <t>Na seção de introdução, foi preenchido a Abordagem do projeto de acordo com o template ?</t>
  </si>
  <si>
    <t>Na seção de introdução, preencher a subseção Abordagem do projeto de acordo com as especificações do template.</t>
  </si>
  <si>
    <t>Na seção de introdução, foi preenchido os Critérios do projeto de acordo com o template ?</t>
  </si>
  <si>
    <t xml:space="preserve">Na seção introdução, preencher a subseção Critérios do projeto de acordo com as especificações do template. </t>
  </si>
  <si>
    <t>Na seção estratégia, foi preenchido os Documentos de Referência de acordo com o template?</t>
  </si>
  <si>
    <t>Na seção estratégia, foi preenchido os Ambientes de teste em formato de tabela de acordo com o template?</t>
  </si>
  <si>
    <t>Na seção Planejamento, a  coluna "Funcionalidade" da tabela da subseção de Componentes foi preenchida de acordo com o template?</t>
  </si>
  <si>
    <t>Na seção estratégia, preencher a subseção Documentos de Referência de acordo com as especificações do template.</t>
  </si>
  <si>
    <t>Na seção Planejamento, a  coluna "Tipo de teste" da tabela da subseção de Componentes foi preenchida de acordo com o template?</t>
  </si>
  <si>
    <t>Na seção Planejamento, a  coluna "Técnica" da tabela da subseção de Componentes foi preenchida de acordo com o template?</t>
  </si>
  <si>
    <t>Na seção estrátegia, preencher a subseção Ambientes de teste no formato de tabela de acordo com a especificação do template.</t>
  </si>
  <si>
    <t>Na seção estratégia, a coluna "Versão" da tabela da subseção de Componentes foi preenchida de acordo com o template?</t>
  </si>
  <si>
    <t>Na seção estrátegia, preencher a coluna "Elemento de Software" da subseção Ambientes de Teste de acordo com a especificação do template.</t>
  </si>
  <si>
    <t>Na seção estratégia, a coluna "Tipo e Outras Observações" da tabela da subseção Ambiente de Teste foi preenchida de acordo com o template?</t>
  </si>
  <si>
    <t>Na seção estratégia, a coluna "Elemento de Software" da tabela da subseção Ambiente de Teste foi preenchida de acordo com o template?</t>
  </si>
  <si>
    <t>Na seção estrátegia, preencher a coluna "Versão" da subseção Ambientes de Teste de acordo com a especificação do template.</t>
  </si>
  <si>
    <t>Na seção estrátegia, preencher a coluna "Tipo e Outras Observações" da subseção Ambientes de Teste de acordo com a especificação do template.</t>
  </si>
  <si>
    <t>Na seção estratégia, foi preenchido o Processo adotado de acordo com o template?</t>
  </si>
  <si>
    <t>Na seção Planemaneto, foi preenchido o Cronograma em formato de tabela de acordo com o template?</t>
  </si>
  <si>
    <t>Na seção estratégia, preencher a subseção Processo adotado de acordo com as especificações do template.</t>
  </si>
  <si>
    <t>Na seção planejamento, preencher a subseção componentes em formato de tabela e seguindo as especificações do template.</t>
  </si>
  <si>
    <t>Na seção Planejamento, a  coluna "Milestone" da tabela da subseção de Cronograma foi preenchida de acordo com o template?</t>
  </si>
  <si>
    <t>Na seção Planejamento, a  coluna "Data de Início" da tabela da subseção de Cronograma foi preenchida de acordo com o template?</t>
  </si>
  <si>
    <t>Na seção Planejamento, foi preenchida a subseção Componentes em formato de tabela de acordo com o template?</t>
  </si>
  <si>
    <t>Na seção Planejamento, a  coluna "Data de Término" da tabela da subseção de Cronograma foi preenchida de acordo com o template?</t>
  </si>
  <si>
    <t>Na seção Planejamento, a  coluna "Responsável" da tabela da subseção de Cronograma foi preenchida de acordo com o template?</t>
  </si>
  <si>
    <t>Na seção planejamento, preencher a coluna "Funcionalidade" da tabela da subseção de Componentes de acordo com as especificações do template</t>
  </si>
  <si>
    <t>Na seção planejamento, preencher a coluna "Tipo de teste" da tabela da subseção de Componentes de acordo com as especificações do template</t>
  </si>
  <si>
    <t>Na seção planejamento, preencher a coluna "Técnica" da tabela da subseção Componentes de acordo com as especificações do template.</t>
  </si>
  <si>
    <t>Na seção planejamento, preencher a subseção Cronograma no formato de tabela seguindo as especificações do template</t>
  </si>
  <si>
    <t>Na seção planejamento, preencher a coluna "Milestone" da tabela da subseção Cronograma de acordo com as especificações do template.</t>
  </si>
  <si>
    <t>Na seção planejamento, preencher a coluna "Data de Início" da tabela da subseção Cronograma de acordo com as especificações do template.</t>
  </si>
  <si>
    <t>Na seção planejamento, preencher a coluna "Data de Término" da tabela da subseção Cronograma de acordo com as especificações do template.</t>
  </si>
  <si>
    <t>Na seção planejamento, preencher a coluna "Responsável" da tabela da subseção Cronograma de acordo com as especificações do template.</t>
  </si>
  <si>
    <t>Situação da  NC</t>
  </si>
  <si>
    <t>Data da Identificação</t>
  </si>
  <si>
    <t>Data de Conclusão</t>
  </si>
  <si>
    <t>Data de Escalonamento</t>
  </si>
  <si>
    <t>Prazo de resolução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</si>
</sst>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,\ hh:mm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75B825-7EA9-3643-9A5B-11D3E3667B0E}" name="Table15" displayName="Table15" ref="B8:M40" totalsRowShown="0" headerRowDxfId="7" headerRowBorderDxfId="6">
  <autoFilter ref="B8:M40" xr:uid="{0B0FA57A-3D35-BD40-A4B4-678F261D7C7C}"/>
  <tableColumns count="12">
    <tableColumn id="1" xr3:uid="{8678A457-B0B9-9E4E-BB1E-E1E9BF844008}" name="N°" dataDxfId="5">
      <calculatedColumnFormula xml:space="preserve"> ROW(C9)-8</calculatedColumnFormula>
    </tableColumn>
    <tableColumn id="2" xr3:uid="{0F45FBD0-F66D-7643-BC9C-8C017B804CB1}" name="Descrição" dataDxfId="4"/>
    <tableColumn id="3" xr3:uid="{74A88470-A2E5-4E45-946E-310D31F8C90F}" name="Resultado" dataDxfId="3"/>
    <tableColumn id="4" xr3:uid="{4F164092-8CC8-2F41-A806-19879229CA6F}" name="Responsável" dataDxfId="2"/>
    <tableColumn id="5" xr3:uid="{EA5A6D8F-5A25-AD4B-86D6-64A873156BBF}" name="Observação"/>
    <tableColumn id="6" xr3:uid="{1E33A193-D426-EE42-9728-A50136E57694}" name="Classificação da NC" dataDxfId="1"/>
    <tableColumn id="7" xr3:uid="{E8680F43-0EE3-EF41-AF76-2BE69150202B}" name="Ação Corretiva" dataDxfId="0"/>
    <tableColumn id="8" xr3:uid="{F2B07754-2E8E-A645-AADA-23B95BDF50BF}" name="Situação da  NC"/>
    <tableColumn id="9" xr3:uid="{F3C345AB-31FF-844A-8A0A-D0E8F679136D}" name="Data da Identificação"/>
    <tableColumn id="10" xr3:uid="{98D85ED6-416D-F34E-BC0A-37B150E640A3}" name="Prazo de resolução"/>
    <tableColumn id="11" xr3:uid="{763B6165-C100-9D4A-A554-7A1EEDE975B5}" name="Data de Escalonamento"/>
    <tableColumn id="12" xr3:uid="{486C3EA0-7795-6A4F-BC8A-EE9A49A6A2B6}" name="Data de Conclus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DDC9-7398-3C4F-A5BF-409C4D0C510F}">
  <dimension ref="B2:M185"/>
  <sheetViews>
    <sheetView tabSelected="1" topLeftCell="H33" zoomScale="132" zoomScaleNormal="108" workbookViewId="0">
      <selection activeCell="J41" sqref="J41"/>
    </sheetView>
  </sheetViews>
  <sheetFormatPr baseColWidth="10" defaultColWidth="11.1640625" defaultRowHeight="16" x14ac:dyDescent="0.2"/>
  <cols>
    <col min="1" max="1" width="4" customWidth="1"/>
    <col min="2" max="2" width="12.83203125" bestFit="1" customWidth="1"/>
    <col min="3" max="3" width="46.6640625" customWidth="1"/>
    <col min="4" max="4" width="20.83203125" customWidth="1"/>
    <col min="5" max="5" width="30.6640625" customWidth="1"/>
    <col min="6" max="6" width="26" bestFit="1" customWidth="1"/>
    <col min="7" max="7" width="20.5" bestFit="1" customWidth="1"/>
    <col min="8" max="8" width="52" customWidth="1"/>
    <col min="9" max="9" width="26.33203125" customWidth="1"/>
    <col min="10" max="10" width="23.6640625" customWidth="1"/>
    <col min="11" max="12" width="22.33203125" customWidth="1"/>
    <col min="13" max="13" width="22.1640625" customWidth="1"/>
  </cols>
  <sheetData>
    <row r="2" spans="2:13" x14ac:dyDescent="0.2">
      <c r="B2" s="6" t="s">
        <v>15</v>
      </c>
      <c r="C2" s="7">
        <f>COUNTIF(Table15[Resultado], "Sim")</f>
        <v>0</v>
      </c>
    </row>
    <row r="3" spans="2:13" x14ac:dyDescent="0.2">
      <c r="B3" s="6" t="s">
        <v>14</v>
      </c>
      <c r="C3" s="7">
        <f>COUNTIF(Table15[Resultado], "Não")</f>
        <v>0</v>
      </c>
    </row>
    <row r="4" spans="2:13" x14ac:dyDescent="0.2">
      <c r="B4" s="6" t="s">
        <v>20</v>
      </c>
      <c r="C4" s="7">
        <f>COUNTIF(Table15[Resultado], "Não aplicável")</f>
        <v>0</v>
      </c>
    </row>
    <row r="5" spans="2:13" x14ac:dyDescent="0.2">
      <c r="B5" s="6" t="s">
        <v>33</v>
      </c>
      <c r="C5" s="7">
        <f xml:space="preserve"> COUNTA(Table15[Descrição])</f>
        <v>32</v>
      </c>
    </row>
    <row r="6" spans="2:13" x14ac:dyDescent="0.2">
      <c r="B6" s="6" t="s">
        <v>8</v>
      </c>
      <c r="C6" s="10">
        <f xml:space="preserve"> ( (_xlnm.Criteria - NaoAp) - Nao ) / (_xlnm.Criteria - NaoAp)</f>
        <v>1</v>
      </c>
    </row>
    <row r="8" spans="2:13" ht="17" x14ac:dyDescent="0.2">
      <c r="B8" s="3" t="s">
        <v>0</v>
      </c>
      <c r="C8" s="12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2" t="s">
        <v>80</v>
      </c>
      <c r="J8" s="1" t="s">
        <v>81</v>
      </c>
      <c r="K8" s="1" t="s">
        <v>84</v>
      </c>
      <c r="L8" s="1" t="s">
        <v>83</v>
      </c>
      <c r="M8" s="1" t="s">
        <v>82</v>
      </c>
    </row>
    <row r="9" spans="2:13" ht="36" customHeight="1" x14ac:dyDescent="0.2">
      <c r="B9" s="4">
        <f t="shared" ref="B9:B40" si="0" xml:space="preserve"> ROW(C9)-8</f>
        <v>1</v>
      </c>
      <c r="C9" s="9" t="s">
        <v>9</v>
      </c>
      <c r="D9" s="13"/>
      <c r="E9" s="9" t="s">
        <v>7</v>
      </c>
      <c r="G9" s="4" t="s">
        <v>18</v>
      </c>
      <c r="H9" s="11" t="s">
        <v>32</v>
      </c>
      <c r="I9" s="4"/>
    </row>
    <row r="10" spans="2:13" ht="34" x14ac:dyDescent="0.2">
      <c r="B10" s="4">
        <f t="shared" si="0"/>
        <v>2</v>
      </c>
      <c r="C10" s="9" t="s">
        <v>10</v>
      </c>
      <c r="D10" s="13"/>
      <c r="E10" s="9" t="s">
        <v>7</v>
      </c>
      <c r="G10" s="4" t="s">
        <v>19</v>
      </c>
      <c r="H10" s="11" t="s">
        <v>31</v>
      </c>
      <c r="I10" s="4"/>
    </row>
    <row r="11" spans="2:13" ht="34" x14ac:dyDescent="0.2">
      <c r="B11" s="4">
        <f t="shared" si="0"/>
        <v>3</v>
      </c>
      <c r="C11" s="9" t="s">
        <v>11</v>
      </c>
      <c r="D11" s="13"/>
      <c r="E11" s="9" t="s">
        <v>7</v>
      </c>
      <c r="F11" s="11"/>
      <c r="G11" s="4" t="s">
        <v>18</v>
      </c>
      <c r="H11" s="11" t="s">
        <v>30</v>
      </c>
      <c r="I11" s="4"/>
      <c r="J11" s="16"/>
      <c r="K11" s="16"/>
      <c r="L11" s="16"/>
      <c r="M11" s="16"/>
    </row>
    <row r="12" spans="2:13" ht="34" x14ac:dyDescent="0.2">
      <c r="B12" s="4">
        <f t="shared" si="0"/>
        <v>4</v>
      </c>
      <c r="C12" s="9" t="s">
        <v>13</v>
      </c>
      <c r="D12" s="13"/>
      <c r="E12" s="9" t="s">
        <v>7</v>
      </c>
      <c r="G12" s="4" t="s">
        <v>19</v>
      </c>
      <c r="H12" s="11" t="s">
        <v>29</v>
      </c>
      <c r="I12" s="4"/>
    </row>
    <row r="13" spans="2:13" ht="34" x14ac:dyDescent="0.2">
      <c r="B13" s="4">
        <f t="shared" si="0"/>
        <v>5</v>
      </c>
      <c r="C13" s="9" t="s">
        <v>16</v>
      </c>
      <c r="D13" s="13"/>
      <c r="E13" s="9" t="s">
        <v>7</v>
      </c>
      <c r="F13" s="5"/>
      <c r="G13" s="4" t="s">
        <v>21</v>
      </c>
      <c r="H13" s="11" t="s">
        <v>28</v>
      </c>
      <c r="I13" s="4"/>
      <c r="J13" s="16"/>
      <c r="K13" s="16"/>
      <c r="L13" s="16"/>
      <c r="M13" s="16"/>
    </row>
    <row r="14" spans="2:13" ht="34" x14ac:dyDescent="0.2">
      <c r="B14" s="4">
        <f t="shared" si="0"/>
        <v>6</v>
      </c>
      <c r="C14" s="9" t="s">
        <v>22</v>
      </c>
      <c r="D14" s="13"/>
      <c r="E14" s="9" t="s">
        <v>7</v>
      </c>
      <c r="G14" s="4" t="s">
        <v>18</v>
      </c>
      <c r="H14" s="11" t="s">
        <v>27</v>
      </c>
      <c r="I14" s="4"/>
    </row>
    <row r="15" spans="2:13" ht="34" x14ac:dyDescent="0.2">
      <c r="B15" s="4">
        <f t="shared" si="0"/>
        <v>7</v>
      </c>
      <c r="C15" s="9" t="s">
        <v>17</v>
      </c>
      <c r="D15" s="13"/>
      <c r="E15" s="9" t="s">
        <v>7</v>
      </c>
      <c r="G15" s="4" t="s">
        <v>19</v>
      </c>
      <c r="H15" s="11" t="s">
        <v>26</v>
      </c>
      <c r="I15" s="4"/>
    </row>
    <row r="16" spans="2:13" ht="34" x14ac:dyDescent="0.2">
      <c r="B16" s="4">
        <f t="shared" si="0"/>
        <v>8</v>
      </c>
      <c r="C16" s="9" t="s">
        <v>23</v>
      </c>
      <c r="D16" s="13"/>
      <c r="E16" s="9" t="s">
        <v>7</v>
      </c>
      <c r="G16" s="4" t="s">
        <v>21</v>
      </c>
      <c r="H16" s="11" t="s">
        <v>25</v>
      </c>
      <c r="I16" s="4"/>
    </row>
    <row r="17" spans="2:13" ht="34" x14ac:dyDescent="0.2">
      <c r="B17" s="4">
        <f t="shared" si="0"/>
        <v>9</v>
      </c>
      <c r="C17" s="9" t="s">
        <v>12</v>
      </c>
      <c r="D17" s="13"/>
      <c r="E17" s="9" t="s">
        <v>7</v>
      </c>
      <c r="G17" s="4" t="s">
        <v>18</v>
      </c>
      <c r="H17" s="11" t="s">
        <v>24</v>
      </c>
      <c r="I17" s="4"/>
    </row>
    <row r="18" spans="2:13" ht="51" x14ac:dyDescent="0.2">
      <c r="B18" s="4">
        <f t="shared" si="0"/>
        <v>10</v>
      </c>
      <c r="C18" s="9" t="s">
        <v>34</v>
      </c>
      <c r="D18" s="13"/>
      <c r="E18" s="9" t="s">
        <v>7</v>
      </c>
      <c r="G18" s="4" t="s">
        <v>21</v>
      </c>
      <c r="H18" s="11" t="s">
        <v>35</v>
      </c>
      <c r="I18" s="4"/>
    </row>
    <row r="19" spans="2:13" ht="51" x14ac:dyDescent="0.2">
      <c r="B19" s="4">
        <f t="shared" si="0"/>
        <v>11</v>
      </c>
      <c r="C19" s="9" t="s">
        <v>36</v>
      </c>
      <c r="D19" s="13"/>
      <c r="E19" s="9" t="s">
        <v>7</v>
      </c>
      <c r="G19" s="4" t="s">
        <v>21</v>
      </c>
      <c r="H19" s="11" t="s">
        <v>37</v>
      </c>
      <c r="I19" s="4"/>
    </row>
    <row r="20" spans="2:13" ht="51" x14ac:dyDescent="0.2">
      <c r="B20" s="4">
        <f t="shared" si="0"/>
        <v>12</v>
      </c>
      <c r="C20" s="9" t="s">
        <v>38</v>
      </c>
      <c r="D20" s="13"/>
      <c r="E20" s="9" t="s">
        <v>7</v>
      </c>
      <c r="G20" s="4" t="s">
        <v>21</v>
      </c>
      <c r="H20" s="11" t="s">
        <v>39</v>
      </c>
      <c r="I20" s="4"/>
    </row>
    <row r="21" spans="2:13" ht="51" x14ac:dyDescent="0.2">
      <c r="B21" s="4">
        <f t="shared" si="0"/>
        <v>13</v>
      </c>
      <c r="C21" s="9" t="s">
        <v>40</v>
      </c>
      <c r="D21" s="13"/>
      <c r="E21" s="9" t="s">
        <v>7</v>
      </c>
      <c r="G21" s="4" t="s">
        <v>21</v>
      </c>
      <c r="H21" s="11" t="s">
        <v>41</v>
      </c>
      <c r="I21" s="4"/>
    </row>
    <row r="22" spans="2:13" ht="34" x14ac:dyDescent="0.2">
      <c r="B22" s="4">
        <f t="shared" si="0"/>
        <v>14</v>
      </c>
      <c r="C22" s="5" t="s">
        <v>42</v>
      </c>
      <c r="D22" s="13"/>
      <c r="E22" s="9" t="s">
        <v>7</v>
      </c>
      <c r="G22" s="4" t="s">
        <v>21</v>
      </c>
      <c r="H22" s="11" t="s">
        <v>43</v>
      </c>
      <c r="I22" s="4"/>
    </row>
    <row r="23" spans="2:13" ht="34" x14ac:dyDescent="0.2">
      <c r="B23" s="4">
        <f t="shared" si="0"/>
        <v>15</v>
      </c>
      <c r="C23" s="5" t="s">
        <v>44</v>
      </c>
      <c r="D23" s="13"/>
      <c r="E23" s="9" t="s">
        <v>7</v>
      </c>
      <c r="G23" s="4" t="s">
        <v>21</v>
      </c>
      <c r="H23" s="11" t="s">
        <v>45</v>
      </c>
      <c r="I23" s="4"/>
    </row>
    <row r="24" spans="2:13" ht="34" x14ac:dyDescent="0.2">
      <c r="B24" s="4">
        <f t="shared" si="0"/>
        <v>16</v>
      </c>
      <c r="C24" s="5" t="s">
        <v>46</v>
      </c>
      <c r="D24" s="13"/>
      <c r="E24" s="9" t="s">
        <v>7</v>
      </c>
      <c r="G24" s="4" t="s">
        <v>21</v>
      </c>
      <c r="H24" s="11" t="s">
        <v>47</v>
      </c>
      <c r="I24" s="4"/>
    </row>
    <row r="25" spans="2:13" ht="34" x14ac:dyDescent="0.2">
      <c r="B25" s="4">
        <f t="shared" si="0"/>
        <v>17</v>
      </c>
      <c r="C25" s="5" t="s">
        <v>48</v>
      </c>
      <c r="D25" s="13"/>
      <c r="E25" s="9" t="s">
        <v>7</v>
      </c>
      <c r="G25" s="4" t="s">
        <v>18</v>
      </c>
      <c r="H25" s="11" t="s">
        <v>49</v>
      </c>
      <c r="I25" s="4"/>
    </row>
    <row r="26" spans="2:13" ht="34" x14ac:dyDescent="0.2">
      <c r="B26" s="4">
        <f t="shared" si="0"/>
        <v>18</v>
      </c>
      <c r="C26" s="5" t="s">
        <v>50</v>
      </c>
      <c r="D26" s="13"/>
      <c r="E26" s="9" t="s">
        <v>7</v>
      </c>
      <c r="G26" s="4" t="s">
        <v>21</v>
      </c>
      <c r="H26" s="11" t="s">
        <v>53</v>
      </c>
      <c r="I26" s="4"/>
    </row>
    <row r="27" spans="2:13" ht="51" x14ac:dyDescent="0.2">
      <c r="B27" s="4">
        <f t="shared" si="0"/>
        <v>19</v>
      </c>
      <c r="C27" s="11" t="s">
        <v>51</v>
      </c>
      <c r="D27" s="13"/>
      <c r="E27" s="9" t="s">
        <v>7</v>
      </c>
      <c r="G27" s="4" t="s">
        <v>18</v>
      </c>
      <c r="H27" s="11" t="s">
        <v>56</v>
      </c>
      <c r="I27" s="4"/>
    </row>
    <row r="28" spans="2:13" ht="51" x14ac:dyDescent="0.2">
      <c r="B28" s="4">
        <f t="shared" si="0"/>
        <v>20</v>
      </c>
      <c r="C28" s="5" t="s">
        <v>60</v>
      </c>
      <c r="D28" s="13"/>
      <c r="E28" s="9" t="s">
        <v>7</v>
      </c>
      <c r="G28" s="4" t="s">
        <v>21</v>
      </c>
      <c r="H28" s="11" t="s">
        <v>58</v>
      </c>
      <c r="I28" s="4"/>
    </row>
    <row r="29" spans="2:13" ht="51" x14ac:dyDescent="0.2">
      <c r="B29" s="4">
        <f t="shared" si="0"/>
        <v>21</v>
      </c>
      <c r="C29" s="5" t="s">
        <v>57</v>
      </c>
      <c r="D29" s="13"/>
      <c r="E29" s="9" t="s">
        <v>7</v>
      </c>
      <c r="G29" s="4" t="s">
        <v>21</v>
      </c>
      <c r="H29" s="11" t="s">
        <v>61</v>
      </c>
      <c r="I29" s="4"/>
    </row>
    <row r="30" spans="2:13" ht="51" x14ac:dyDescent="0.2">
      <c r="B30" s="4">
        <f t="shared" si="0"/>
        <v>22</v>
      </c>
      <c r="C30" s="11" t="s">
        <v>59</v>
      </c>
      <c r="D30" s="13"/>
      <c r="E30" s="9" t="s">
        <v>7</v>
      </c>
      <c r="F30" s="15"/>
      <c r="G30" s="4" t="s">
        <v>21</v>
      </c>
      <c r="H30" s="11" t="s">
        <v>62</v>
      </c>
      <c r="I30" s="4"/>
      <c r="J30" s="16"/>
      <c r="K30" s="16"/>
      <c r="L30" s="16"/>
      <c r="M30" s="16"/>
    </row>
    <row r="31" spans="2:13" ht="34" x14ac:dyDescent="0.2">
      <c r="B31" s="4">
        <f t="shared" si="0"/>
        <v>23</v>
      </c>
      <c r="C31" s="5" t="s">
        <v>63</v>
      </c>
      <c r="D31" s="13"/>
      <c r="E31" s="9" t="s">
        <v>7</v>
      </c>
      <c r="F31" s="5"/>
      <c r="G31" s="4" t="s">
        <v>18</v>
      </c>
      <c r="H31" s="11" t="s">
        <v>65</v>
      </c>
      <c r="I31" s="4"/>
      <c r="J31" s="16"/>
      <c r="K31" s="16"/>
      <c r="L31" s="16"/>
      <c r="M31" s="16"/>
    </row>
    <row r="32" spans="2:13" ht="51" x14ac:dyDescent="0.2">
      <c r="B32" s="4">
        <f t="shared" si="0"/>
        <v>24</v>
      </c>
      <c r="C32" s="9" t="s">
        <v>69</v>
      </c>
      <c r="D32" s="13"/>
      <c r="E32" s="9" t="s">
        <v>7</v>
      </c>
      <c r="G32" s="4" t="s">
        <v>18</v>
      </c>
      <c r="H32" s="11" t="s">
        <v>66</v>
      </c>
      <c r="I32" s="4"/>
    </row>
    <row r="33" spans="2:9" ht="51" x14ac:dyDescent="0.2">
      <c r="B33" s="4">
        <f t="shared" si="0"/>
        <v>25</v>
      </c>
      <c r="C33" s="11" t="s">
        <v>52</v>
      </c>
      <c r="D33" s="13"/>
      <c r="E33" s="9" t="s">
        <v>7</v>
      </c>
      <c r="G33" s="4" t="s">
        <v>21</v>
      </c>
      <c r="H33" s="11" t="s">
        <v>72</v>
      </c>
      <c r="I33" s="4"/>
    </row>
    <row r="34" spans="2:9" ht="51" x14ac:dyDescent="0.2">
      <c r="B34" s="4">
        <f t="shared" si="0"/>
        <v>26</v>
      </c>
      <c r="C34" s="11" t="s">
        <v>54</v>
      </c>
      <c r="D34" s="13"/>
      <c r="E34" s="9" t="s">
        <v>7</v>
      </c>
      <c r="G34" s="4" t="s">
        <v>21</v>
      </c>
      <c r="H34" s="11" t="s">
        <v>73</v>
      </c>
      <c r="I34" s="4"/>
    </row>
    <row r="35" spans="2:9" ht="51" x14ac:dyDescent="0.2">
      <c r="B35" s="4">
        <f t="shared" si="0"/>
        <v>27</v>
      </c>
      <c r="C35" s="11" t="s">
        <v>55</v>
      </c>
      <c r="D35" s="13"/>
      <c r="E35" s="9" t="s">
        <v>7</v>
      </c>
      <c r="G35" s="4" t="s">
        <v>21</v>
      </c>
      <c r="H35" s="11" t="s">
        <v>74</v>
      </c>
      <c r="I35" s="4"/>
    </row>
    <row r="36" spans="2:9" ht="34" x14ac:dyDescent="0.2">
      <c r="B36" s="4">
        <f t="shared" si="0"/>
        <v>28</v>
      </c>
      <c r="C36" s="9" t="s">
        <v>64</v>
      </c>
      <c r="D36" s="13"/>
      <c r="E36" s="9" t="s">
        <v>7</v>
      </c>
      <c r="G36" s="4" t="s">
        <v>18</v>
      </c>
      <c r="H36" s="11" t="s">
        <v>75</v>
      </c>
      <c r="I36" s="4"/>
    </row>
    <row r="37" spans="2:9" ht="51" x14ac:dyDescent="0.2">
      <c r="B37" s="4">
        <f t="shared" si="0"/>
        <v>29</v>
      </c>
      <c r="C37" s="11" t="s">
        <v>67</v>
      </c>
      <c r="D37" s="13"/>
      <c r="E37" s="9" t="s">
        <v>7</v>
      </c>
      <c r="G37" s="4" t="s">
        <v>21</v>
      </c>
      <c r="H37" s="11" t="s">
        <v>76</v>
      </c>
      <c r="I37" s="4"/>
    </row>
    <row r="38" spans="2:9" ht="51" x14ac:dyDescent="0.2">
      <c r="B38" s="4">
        <f t="shared" si="0"/>
        <v>30</v>
      </c>
      <c r="C38" s="11" t="s">
        <v>68</v>
      </c>
      <c r="D38" s="13"/>
      <c r="E38" s="9" t="s">
        <v>7</v>
      </c>
      <c r="G38" s="4" t="s">
        <v>21</v>
      </c>
      <c r="H38" s="11" t="s">
        <v>77</v>
      </c>
      <c r="I38" s="4"/>
    </row>
    <row r="39" spans="2:9" ht="51" x14ac:dyDescent="0.2">
      <c r="B39" s="4">
        <f t="shared" si="0"/>
        <v>31</v>
      </c>
      <c r="C39" s="14" t="s">
        <v>70</v>
      </c>
      <c r="D39" s="13"/>
      <c r="E39" s="9" t="s">
        <v>7</v>
      </c>
      <c r="G39" s="4" t="s">
        <v>21</v>
      </c>
      <c r="H39" s="11" t="s">
        <v>78</v>
      </c>
      <c r="I39" s="4"/>
    </row>
    <row r="40" spans="2:9" ht="51" x14ac:dyDescent="0.2">
      <c r="B40" s="4">
        <f t="shared" si="0"/>
        <v>32</v>
      </c>
      <c r="C40" s="11" t="s">
        <v>71</v>
      </c>
      <c r="D40" s="13"/>
      <c r="E40" s="9" t="s">
        <v>7</v>
      </c>
      <c r="G40" s="4" t="s">
        <v>21</v>
      </c>
      <c r="H40" s="11" t="s">
        <v>79</v>
      </c>
    </row>
    <row r="41" spans="2:9" x14ac:dyDescent="0.2">
      <c r="C41" s="5"/>
      <c r="E41" s="8"/>
    </row>
    <row r="42" spans="2:9" x14ac:dyDescent="0.2">
      <c r="C42" s="5"/>
      <c r="E42" s="8"/>
    </row>
    <row r="43" spans="2:9" x14ac:dyDescent="0.2">
      <c r="C43" s="5"/>
      <c r="E43" s="8"/>
    </row>
    <row r="44" spans="2:9" x14ac:dyDescent="0.2">
      <c r="C44" s="5"/>
      <c r="E44" s="8"/>
    </row>
    <row r="45" spans="2:9" x14ac:dyDescent="0.2">
      <c r="C45" s="5"/>
      <c r="E45" s="8"/>
    </row>
    <row r="46" spans="2:9" x14ac:dyDescent="0.2">
      <c r="C46" s="5"/>
      <c r="E46" s="8"/>
    </row>
    <row r="47" spans="2:9" x14ac:dyDescent="0.2">
      <c r="C47" s="5"/>
      <c r="E47" s="8"/>
    </row>
    <row r="48" spans="2:9" x14ac:dyDescent="0.2">
      <c r="C48" s="5"/>
      <c r="E48" s="8"/>
    </row>
    <row r="49" spans="3:5" x14ac:dyDescent="0.2">
      <c r="C49" s="5"/>
      <c r="E49" s="8"/>
    </row>
    <row r="50" spans="3:5" x14ac:dyDescent="0.2">
      <c r="C50" s="5"/>
      <c r="E50" s="8"/>
    </row>
    <row r="51" spans="3:5" x14ac:dyDescent="0.2">
      <c r="C51" s="5"/>
      <c r="E51" s="8"/>
    </row>
    <row r="52" spans="3:5" x14ac:dyDescent="0.2">
      <c r="C52" s="5"/>
      <c r="E52" s="8"/>
    </row>
    <row r="53" spans="3:5" x14ac:dyDescent="0.2">
      <c r="C53" s="5"/>
      <c r="E53" s="8"/>
    </row>
    <row r="54" spans="3:5" x14ac:dyDescent="0.2">
      <c r="C54" s="5"/>
      <c r="E54" s="8"/>
    </row>
    <row r="55" spans="3:5" x14ac:dyDescent="0.2">
      <c r="C55" s="5"/>
      <c r="E55" s="8"/>
    </row>
    <row r="56" spans="3:5" x14ac:dyDescent="0.2">
      <c r="C56" s="5"/>
      <c r="E56" s="8"/>
    </row>
    <row r="57" spans="3:5" x14ac:dyDescent="0.2">
      <c r="C57" s="5"/>
      <c r="E57" s="8"/>
    </row>
    <row r="58" spans="3:5" x14ac:dyDescent="0.2">
      <c r="C58" s="5"/>
      <c r="E58" s="8"/>
    </row>
    <row r="59" spans="3:5" x14ac:dyDescent="0.2">
      <c r="C59" s="5"/>
      <c r="E59" s="8"/>
    </row>
    <row r="60" spans="3:5" x14ac:dyDescent="0.2">
      <c r="C60" s="5"/>
      <c r="E60" s="8"/>
    </row>
    <row r="61" spans="3:5" x14ac:dyDescent="0.2">
      <c r="C61" s="5"/>
      <c r="E61" s="8"/>
    </row>
    <row r="62" spans="3:5" x14ac:dyDescent="0.2">
      <c r="C62" s="5"/>
      <c r="E62" s="8"/>
    </row>
    <row r="63" spans="3:5" x14ac:dyDescent="0.2">
      <c r="C63" s="5"/>
      <c r="E63" s="8"/>
    </row>
    <row r="64" spans="3:5" x14ac:dyDescent="0.2">
      <c r="C64" s="5"/>
      <c r="E64" s="8"/>
    </row>
    <row r="65" spans="3:5" x14ac:dyDescent="0.2">
      <c r="C65" s="5"/>
      <c r="E65" s="8"/>
    </row>
    <row r="66" spans="3:5" x14ac:dyDescent="0.2">
      <c r="C66" s="5"/>
      <c r="E66" s="8"/>
    </row>
    <row r="67" spans="3:5" x14ac:dyDescent="0.2">
      <c r="C67" s="5"/>
    </row>
    <row r="68" spans="3:5" x14ac:dyDescent="0.2">
      <c r="C68" s="5"/>
    </row>
    <row r="69" spans="3:5" x14ac:dyDescent="0.2">
      <c r="C69" s="5"/>
    </row>
    <row r="70" spans="3:5" x14ac:dyDescent="0.2">
      <c r="C70" s="5"/>
    </row>
    <row r="71" spans="3:5" x14ac:dyDescent="0.2">
      <c r="C71" s="5"/>
    </row>
    <row r="72" spans="3:5" x14ac:dyDescent="0.2">
      <c r="C72" s="5"/>
    </row>
    <row r="73" spans="3:5" x14ac:dyDescent="0.2">
      <c r="C73" s="5"/>
    </row>
    <row r="74" spans="3:5" x14ac:dyDescent="0.2">
      <c r="C74" s="5"/>
    </row>
    <row r="75" spans="3:5" x14ac:dyDescent="0.2">
      <c r="C75" s="5"/>
    </row>
    <row r="76" spans="3:5" x14ac:dyDescent="0.2">
      <c r="C76" s="5"/>
    </row>
    <row r="77" spans="3:5" x14ac:dyDescent="0.2">
      <c r="C77" s="5"/>
    </row>
    <row r="78" spans="3:5" x14ac:dyDescent="0.2">
      <c r="C78" s="5"/>
    </row>
    <row r="79" spans="3:5" x14ac:dyDescent="0.2">
      <c r="C79" s="5"/>
    </row>
    <row r="80" spans="3:5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  <row r="118" spans="3:3" x14ac:dyDescent="0.2">
      <c r="C118" s="5"/>
    </row>
    <row r="119" spans="3:3" x14ac:dyDescent="0.2">
      <c r="C119" s="5"/>
    </row>
    <row r="120" spans="3:3" x14ac:dyDescent="0.2">
      <c r="C120" s="5"/>
    </row>
    <row r="121" spans="3:3" x14ac:dyDescent="0.2">
      <c r="C121" s="5"/>
    </row>
    <row r="122" spans="3:3" x14ac:dyDescent="0.2">
      <c r="C122" s="5"/>
    </row>
    <row r="123" spans="3:3" x14ac:dyDescent="0.2">
      <c r="C123" s="5"/>
    </row>
    <row r="124" spans="3:3" x14ac:dyDescent="0.2">
      <c r="C124" s="5"/>
    </row>
    <row r="125" spans="3:3" x14ac:dyDescent="0.2">
      <c r="C125" s="5"/>
    </row>
    <row r="126" spans="3:3" x14ac:dyDescent="0.2">
      <c r="C126" s="5"/>
    </row>
    <row r="127" spans="3:3" x14ac:dyDescent="0.2">
      <c r="C127" s="5"/>
    </row>
    <row r="128" spans="3:3" x14ac:dyDescent="0.2">
      <c r="C128" s="5"/>
    </row>
    <row r="129" spans="3:3" x14ac:dyDescent="0.2">
      <c r="C129" s="5"/>
    </row>
    <row r="130" spans="3:3" x14ac:dyDescent="0.2">
      <c r="C130" s="5"/>
    </row>
    <row r="131" spans="3:3" x14ac:dyDescent="0.2">
      <c r="C131" s="5"/>
    </row>
    <row r="132" spans="3:3" x14ac:dyDescent="0.2">
      <c r="C132" s="5"/>
    </row>
    <row r="133" spans="3:3" x14ac:dyDescent="0.2">
      <c r="C133" s="5"/>
    </row>
    <row r="134" spans="3:3" x14ac:dyDescent="0.2">
      <c r="C134" s="5"/>
    </row>
    <row r="135" spans="3:3" x14ac:dyDescent="0.2">
      <c r="C135" s="5"/>
    </row>
    <row r="136" spans="3:3" x14ac:dyDescent="0.2">
      <c r="C136" s="5"/>
    </row>
    <row r="137" spans="3:3" x14ac:dyDescent="0.2">
      <c r="C137" s="5"/>
    </row>
    <row r="138" spans="3:3" x14ac:dyDescent="0.2">
      <c r="C138" s="5"/>
    </row>
    <row r="139" spans="3:3" x14ac:dyDescent="0.2">
      <c r="C139" s="5"/>
    </row>
    <row r="140" spans="3:3" x14ac:dyDescent="0.2">
      <c r="C140" s="5"/>
    </row>
    <row r="141" spans="3:3" x14ac:dyDescent="0.2">
      <c r="C141" s="5"/>
    </row>
    <row r="142" spans="3:3" x14ac:dyDescent="0.2">
      <c r="C142" s="5"/>
    </row>
    <row r="143" spans="3:3" x14ac:dyDescent="0.2">
      <c r="C143" s="5"/>
    </row>
    <row r="144" spans="3:3" x14ac:dyDescent="0.2">
      <c r="C144" s="5"/>
    </row>
    <row r="145" spans="3:3" x14ac:dyDescent="0.2">
      <c r="C145" s="5"/>
    </row>
    <row r="146" spans="3:3" x14ac:dyDescent="0.2">
      <c r="C146" s="5"/>
    </row>
    <row r="147" spans="3:3" x14ac:dyDescent="0.2">
      <c r="C147" s="5"/>
    </row>
    <row r="148" spans="3:3" x14ac:dyDescent="0.2">
      <c r="C148" s="5"/>
    </row>
    <row r="149" spans="3:3" x14ac:dyDescent="0.2">
      <c r="C149" s="5"/>
    </row>
    <row r="150" spans="3:3" x14ac:dyDescent="0.2">
      <c r="C150" s="5"/>
    </row>
    <row r="151" spans="3:3" x14ac:dyDescent="0.2">
      <c r="C151" s="5"/>
    </row>
    <row r="152" spans="3:3" x14ac:dyDescent="0.2">
      <c r="C152" s="5"/>
    </row>
    <row r="153" spans="3:3" x14ac:dyDescent="0.2">
      <c r="C153" s="5"/>
    </row>
    <row r="154" spans="3:3" x14ac:dyDescent="0.2">
      <c r="C154" s="5"/>
    </row>
    <row r="155" spans="3:3" x14ac:dyDescent="0.2">
      <c r="C155" s="5"/>
    </row>
    <row r="156" spans="3:3" x14ac:dyDescent="0.2">
      <c r="C156" s="5"/>
    </row>
    <row r="157" spans="3:3" x14ac:dyDescent="0.2">
      <c r="C157" s="5"/>
    </row>
    <row r="158" spans="3:3" x14ac:dyDescent="0.2">
      <c r="C158" s="5"/>
    </row>
    <row r="159" spans="3:3" x14ac:dyDescent="0.2">
      <c r="C159" s="5"/>
    </row>
    <row r="160" spans="3:3" x14ac:dyDescent="0.2">
      <c r="C160" s="5"/>
    </row>
    <row r="161" spans="3:3" x14ac:dyDescent="0.2">
      <c r="C161" s="5"/>
    </row>
    <row r="162" spans="3:3" x14ac:dyDescent="0.2">
      <c r="C162" s="5"/>
    </row>
    <row r="163" spans="3:3" x14ac:dyDescent="0.2">
      <c r="C163" s="5"/>
    </row>
    <row r="164" spans="3:3" x14ac:dyDescent="0.2">
      <c r="C164" s="5"/>
    </row>
    <row r="165" spans="3:3" x14ac:dyDescent="0.2">
      <c r="C165" s="5"/>
    </row>
    <row r="166" spans="3:3" x14ac:dyDescent="0.2">
      <c r="C166" s="5"/>
    </row>
    <row r="167" spans="3:3" x14ac:dyDescent="0.2">
      <c r="C167" s="5"/>
    </row>
    <row r="168" spans="3:3" x14ac:dyDescent="0.2">
      <c r="C168" s="5"/>
    </row>
    <row r="169" spans="3:3" x14ac:dyDescent="0.2">
      <c r="C169" s="5"/>
    </row>
    <row r="170" spans="3:3" x14ac:dyDescent="0.2">
      <c r="C170" s="5"/>
    </row>
    <row r="171" spans="3:3" x14ac:dyDescent="0.2">
      <c r="C171" s="5"/>
    </row>
    <row r="172" spans="3:3" x14ac:dyDescent="0.2">
      <c r="C172" s="5"/>
    </row>
    <row r="173" spans="3:3" x14ac:dyDescent="0.2">
      <c r="C173" s="5"/>
    </row>
    <row r="174" spans="3:3" x14ac:dyDescent="0.2">
      <c r="C174" s="5"/>
    </row>
    <row r="175" spans="3:3" x14ac:dyDescent="0.2">
      <c r="C175" s="5"/>
    </row>
    <row r="176" spans="3:3" x14ac:dyDescent="0.2">
      <c r="C176" s="5"/>
    </row>
    <row r="177" spans="3:3" x14ac:dyDescent="0.2">
      <c r="C177" s="5"/>
    </row>
    <row r="178" spans="3:3" x14ac:dyDescent="0.2">
      <c r="C178" s="5"/>
    </row>
    <row r="179" spans="3:3" x14ac:dyDescent="0.2">
      <c r="C179" s="5"/>
    </row>
    <row r="180" spans="3:3" x14ac:dyDescent="0.2">
      <c r="C180" s="5"/>
    </row>
    <row r="181" spans="3:3" x14ac:dyDescent="0.2">
      <c r="C181" s="5"/>
    </row>
    <row r="182" spans="3:3" x14ac:dyDescent="0.2">
      <c r="C182" s="5"/>
    </row>
    <row r="183" spans="3:3" x14ac:dyDescent="0.2">
      <c r="C183" s="5"/>
    </row>
    <row r="184" spans="3:3" x14ac:dyDescent="0.2">
      <c r="C184" s="5"/>
    </row>
    <row r="185" spans="3:3" x14ac:dyDescent="0.2">
      <c r="C185" s="5"/>
    </row>
  </sheetData>
  <dataValidations count="3">
    <dataValidation type="list" allowBlank="1" showInputMessage="1" showErrorMessage="1" sqref="I9:I40" xr:uid="{30094233-8034-1549-AAFF-35F52D994958}">
      <formula1>"Aberto,Encaminhado,Escalonado,Concluído,Fechado por excessão"</formula1>
    </dataValidation>
    <dataValidation type="list" allowBlank="1" showInputMessage="1" showErrorMessage="1" sqref="D9:D40" xr:uid="{40ADE16C-8502-E946-B8E5-49537D4FEF4F}">
      <formula1>"Sim, Não, Não Aplicável"</formula1>
    </dataValidation>
    <dataValidation type="list" allowBlank="1" showInputMessage="1" showErrorMessage="1" sqref="G9:G40" xr:uid="{D5F69D8A-CFD7-F44A-9ABC-CBE43D97F3AB}">
      <formula1>"Alta | 30min, Média | 1h, Baixa | 2h"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Vazio</vt:lpstr>
      <vt:lpstr>Vazio!Criterio</vt:lpstr>
      <vt:lpstr>Vazio!Criterios</vt:lpstr>
      <vt:lpstr>Vazio!Nao</vt:lpstr>
      <vt:lpstr>Vazio!NaoAp</vt:lpstr>
      <vt:lpstr>Vazio!Sim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Rodrigues de Souza de Camargo</dc:creator>
  <cp:lastModifiedBy>Otavio Augusto Fermino da Silva</cp:lastModifiedBy>
  <dcterms:created xsi:type="dcterms:W3CDTF">2025-09-05T14:25:01Z</dcterms:created>
  <dcterms:modified xsi:type="dcterms:W3CDTF">2025-09-19T12:25:22Z</dcterms:modified>
</cp:coreProperties>
</file>